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CAD90BF6-48AC-4750-A008-EE63B4D2BF1F}" xr6:coauthVersionLast="47" xr6:coauthVersionMax="47" xr10:uidLastSave="{00000000-0000-0000-0000-000000000000}"/>
  <bookViews>
    <workbookView xWindow="240" yWindow="105" windowWidth="14805" windowHeight="8010" firstSheet="2" activeTab="4" xr2:uid="{00000000-000D-0000-FFFF-FFFF00000000}"/>
  </bookViews>
  <sheets>
    <sheet name="Raw_Data" sheetId="1" r:id="rId1"/>
    <sheet name="Clean_Data" sheetId="2" r:id="rId2"/>
    <sheet name="Analysis" sheetId="3" r:id="rId3"/>
    <sheet name="Pivot_Dashboard(Monthly_revenue" sheetId="4" r:id="rId4"/>
    <sheet name="Pivot_Dashboard(sales&amp;Profit)" sheetId="5" r:id="rId5"/>
  </sheets>
  <calcPr calcId="191028"/>
  <pivotCaches>
    <pivotCache cacheId="110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9" i="3"/>
  <c r="B10" i="3"/>
  <c r="I7" i="3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J7" i="3"/>
  <c r="J8" i="3"/>
  <c r="J9" i="3"/>
  <c r="H9" i="3"/>
  <c r="H8" i="3"/>
  <c r="H7" i="3"/>
  <c r="H6" i="3"/>
  <c r="J6" i="3"/>
  <c r="I8" i="3"/>
  <c r="I9" i="3"/>
  <c r="I6" i="3"/>
  <c r="G9" i="3"/>
  <c r="G8" i="3"/>
  <c r="G7" i="3"/>
  <c r="G6" i="3"/>
  <c r="D7" i="3"/>
  <c r="D8" i="3"/>
  <c r="D9" i="3"/>
  <c r="D10" i="3"/>
  <c r="D6" i="3"/>
  <c r="C10" i="3"/>
  <c r="C9" i="3"/>
  <c r="C8" i="3"/>
  <c r="C7" i="3"/>
  <c r="C6" i="3"/>
  <c r="B6" i="3"/>
  <c r="D3" i="3"/>
  <c r="B3" i="3"/>
  <c r="A3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C3" i="3" l="1"/>
</calcChain>
</file>

<file path=xl/sharedStrings.xml><?xml version="1.0" encoding="utf-8"?>
<sst xmlns="http://schemas.openxmlformats.org/spreadsheetml/2006/main" count="215" uniqueCount="44">
  <si>
    <t>Date</t>
  </si>
  <si>
    <t>Product</t>
  </si>
  <si>
    <t>Category</t>
  </si>
  <si>
    <t>Region</t>
  </si>
  <si>
    <t>Sales</t>
  </si>
  <si>
    <t>Quantity</t>
  </si>
  <si>
    <t>Profit</t>
  </si>
  <si>
    <t>Laptop</t>
  </si>
  <si>
    <t>Electronics</t>
  </si>
  <si>
    <t>North</t>
  </si>
  <si>
    <t>Mobile</t>
  </si>
  <si>
    <t>South</t>
  </si>
  <si>
    <t>Chair</t>
  </si>
  <si>
    <t>Furniture</t>
  </si>
  <si>
    <t>East</t>
  </si>
  <si>
    <t>Table</t>
  </si>
  <si>
    <t>West</t>
  </si>
  <si>
    <t>Printer</t>
  </si>
  <si>
    <t>Profit Margin</t>
  </si>
  <si>
    <t>Month</t>
  </si>
  <si>
    <t>KPI Summary</t>
  </si>
  <si>
    <t>Total Sales</t>
  </si>
  <si>
    <t>Total Profit</t>
  </si>
  <si>
    <t>Overall Profit Margin</t>
  </si>
  <si>
    <t>Total Quantity Sold</t>
  </si>
  <si>
    <t>Contribution %</t>
  </si>
  <si>
    <t>Margin%</t>
  </si>
  <si>
    <t>Sum of Sales</t>
  </si>
  <si>
    <t>Jan</t>
  </si>
  <si>
    <t>Feb</t>
  </si>
  <si>
    <t>Mar</t>
  </si>
  <si>
    <t>Apr</t>
  </si>
  <si>
    <t>May</t>
  </si>
  <si>
    <t>Grand Total</t>
  </si>
  <si>
    <r>
      <rPr>
        <b/>
        <sz val="11"/>
        <color rgb="FF000000"/>
        <rFont val="Aptos Narrow"/>
        <scheme val="minor"/>
      </rPr>
      <t>INSIGHT</t>
    </r>
    <r>
      <rPr>
        <sz val="11"/>
        <color rgb="FF000000"/>
        <rFont val="Aptos Narrow"/>
        <scheme val="minor"/>
      </rPr>
      <t>:</t>
    </r>
  </si>
  <si>
    <t>Monthly revenue shows a consistent upward trend from January (₹200K) to April (₹238K), reflecting a 19% growth over four months. This indicates strengthening demand and possibly improved product performance or seasonal uplift. However, May shows a slight dip to ₹228K, suggesting potential demand stabilization or early signs of slowdown.</t>
  </si>
  <si>
    <t>Sum of Profit</t>
  </si>
  <si>
    <t>INSIGHT :</t>
  </si>
  <si>
    <t>Although revenue increased steadily from January (₹200K) to April (₹238K), profit growth remained relatively stable between January (₹36K) and March (~₹37.5K). This indicates that rising sales are not translating proportionally into profit, suggesting possible discounting, higher costs, or a shift toward lower-margin products. If this trend continues, overall profit margins may compress despite revenue growth.</t>
  </si>
  <si>
    <t>Possible reasons:</t>
  </si>
  <si>
    <t>Higher discounts in Feb &amp; March</t>
  </si>
  <si>
    <t>More low-margin product mix (e.g., Printer or Mobile)</t>
  </si>
  <si>
    <t>Increased operational or procurement costs</t>
  </si>
  <si>
    <t>Regional margin issues (like South 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</si>
</sst>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&quot;₹&quot;\ #,##0.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 pivotButton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20">
    <dxf>
      <numFmt numFmtId="14" formatCode="0.00%"/>
    </dxf>
    <dxf>
      <numFmt numFmtId="14" formatCode="0.00%"/>
    </dxf>
    <dxf>
      <numFmt numFmtId="165" formatCode="&quot;₹&quot;\ #,##0.00"/>
    </dxf>
    <dxf>
      <numFmt numFmtId="165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numFmt numFmtId="165" formatCode="&quot;₹&quot;\ #,##0.00"/>
    </dxf>
    <dxf>
      <numFmt numFmtId="165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numFmt numFmtId="165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165" formatCode="&quot;₹&quot;\ #,##0.00"/>
    </dxf>
    <dxf>
      <numFmt numFmtId="165" formatCode="&quot;₹&quot;\ #,##0.00"/>
    </dxf>
    <dxf>
      <numFmt numFmtId="164" formatCode="[$-14009]dd\ mmmm\ 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[Sales_Performance_Analysis.xlsx]Pivot_Dashboard(Monthly_revenue!PivotTable2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'Pivot_Dashboard(Monthly_revenue'!$B$3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'Pivot_Dashboard(Monthly_revenue'!$A$4:$A$9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'Pivot_Dashboard(Monthly_revenue'!$B$4:$B$9</c:f>
              <c:numCache>
                <c:formatCode>"₹"\ #,##0.00</c:formatCode>
                <c:ptCount val="5"/>
                <c:pt idx="0">
                  <c:v>200000</c:v>
                </c:pt>
                <c:pt idx="1">
                  <c:v>212000</c:v>
                </c:pt>
                <c:pt idx="2">
                  <c:v>221000</c:v>
                </c:pt>
                <c:pt idx="3">
                  <c:v>238000</c:v>
                </c:pt>
                <c:pt idx="4">
                  <c:v>228000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7-4D28-8A55-AC6C15560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949000"/>
        <c:axId val="2124951048"/>
      </c:lineChart>
      <c:catAx>
        <c:axId val="212494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951048"/>
        <c:crosses val="autoZero"/>
        <c:auto val="1"/>
        <c:lblAlgn val="ctr"/>
        <c:lblOffset val="100"/>
        <c:noMultiLvlLbl val="0"/>
      </c:catAx>
      <c:valAx>
        <c:axId val="212495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94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[Sales_Performance_Analysis.xlsx]Pivot_Dashboard(sales&amp;Profit)!PivotTable3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'Pivot_Dashboard(sales&amp;Profit)'!$B$3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'Pivot_Dashboard(sales&amp;Profit)'!$A$4:$A$9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'Pivot_Dashboard(sales&amp;Profit)'!$B$4:$B$9</c:f>
              <c:numCache>
                <c:formatCode>"₹"\ #,##0.00</c:formatCode>
                <c:ptCount val="5"/>
                <c:pt idx="0">
                  <c:v>36000</c:v>
                </c:pt>
                <c:pt idx="1">
                  <c:v>37500</c:v>
                </c:pt>
                <c:pt idx="2">
                  <c:v>37500</c:v>
                </c:pt>
                <c:pt idx="3">
                  <c:v>45000</c:v>
                </c:pt>
                <c:pt idx="4">
                  <c:v>41200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5-4FA6-953A-61C898733D55}"/>
            </c:ext>
          </c:extLst>
        </c:ser>
        <c:ser>
          <c:idx val="1"/>
          <c:order val="1"/>
          <c:tx>
            <c:strRef>
              <c:f>'Pivot_Dashboard(sales&amp;Profit)'!$C$3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'Pivot_Dashboard(sales&amp;Profit)'!$A$4:$A$9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'Pivot_Dashboard(sales&amp;Profit)'!$C$4:$C$9</c:f>
              <c:numCache>
                <c:formatCode>"₹"\ #,##0.00</c:formatCode>
                <c:ptCount val="5"/>
                <c:pt idx="0">
                  <c:v>200000</c:v>
                </c:pt>
                <c:pt idx="1">
                  <c:v>212000</c:v>
                </c:pt>
                <c:pt idx="2">
                  <c:v>221000</c:v>
                </c:pt>
                <c:pt idx="3">
                  <c:v>238000</c:v>
                </c:pt>
                <c:pt idx="4">
                  <c:v>228000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E5-4FA6-953A-61C898733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807431"/>
        <c:axId val="146744328"/>
      </c:barChart>
      <c:catAx>
        <c:axId val="1384807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4328"/>
        <c:crosses val="autoZero"/>
        <c:auto val="1"/>
        <c:lblAlgn val="ctr"/>
        <c:lblOffset val="100"/>
        <c:noMultiLvlLbl val="0"/>
      </c:catAx>
      <c:valAx>
        <c:axId val="1467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0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180975</xdr:rowOff>
    </xdr:from>
    <xdr:to>
      <xdr:col>6</xdr:col>
      <xdr:colOff>371475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4055F-49EE-54FF-195F-F22A9225D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47625</xdr:rowOff>
    </xdr:from>
    <xdr:to>
      <xdr:col>9</xdr:col>
      <xdr:colOff>323850</xdr:colOff>
      <xdr:row>12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090D3-AE27-236F-F755-1CFEB2787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679969791665" createdVersion="8" refreshedVersion="8" minRefreshableVersion="3" recordCount="25" xr:uid="{F7722161-2CA3-4105-8654-66F0CDC7002A}">
  <cacheSource type="worksheet">
    <worksheetSource name="Sales_Data3"/>
  </cacheSource>
  <cacheFields count="9">
    <cacheField name="Date" numFmtId="164">
      <sharedItems containsSemiMixedTypes="0" containsNonDate="0" containsDate="1" containsString="0" minDate="2025-01-01T00:00:00" maxDate="2025-05-31T00:00:00"/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Sales" numFmtId="165">
      <sharedItems containsSemiMixedTypes="0" containsString="0" containsNumber="1" containsInteger="1" minValue="20000" maxValue="95000"/>
    </cacheField>
    <cacheField name="Quantity" numFmtId="0">
      <sharedItems containsSemiMixedTypes="0" containsString="0" containsNumber="1" containsInteger="1" minValue="4" maxValue="12"/>
    </cacheField>
    <cacheField name="Profit" numFmtId="165">
      <sharedItems containsSemiMixedTypes="0" containsString="0" containsNumber="1" containsInteger="1" minValue="3000" maxValue="20000"/>
    </cacheField>
    <cacheField name="Profit Margin" numFmtId="0">
      <sharedItems containsSemiMixedTypes="0" containsString="0" containsNumber="1" minValue="0.12" maxValue="0.21052631578947367"/>
    </cacheField>
    <cacheField name="Month" numFmtId="0">
      <sharedItems count="5">
        <s v="Jan"/>
        <s v="Feb"/>
        <s v="Mar"/>
        <s v="Apr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d v="2025-01-01T00:00:00"/>
    <s v="Laptop"/>
    <s v="Electronics"/>
    <s v="North"/>
    <n v="75000"/>
    <n v="5"/>
    <n v="15000"/>
    <n v="0.2"/>
    <x v="0"/>
  </r>
  <r>
    <d v="2025-01-03T00:00:00"/>
    <s v="Mobile"/>
    <s v="Electronics"/>
    <s v="South"/>
    <n v="50000"/>
    <n v="10"/>
    <n v="8000"/>
    <n v="0.16"/>
    <x v="0"/>
  </r>
  <r>
    <d v="2025-01-05T00:00:00"/>
    <s v="Chair"/>
    <s v="Furniture"/>
    <s v="East"/>
    <n v="20000"/>
    <n v="8"/>
    <n v="4000"/>
    <n v="0.2"/>
    <x v="0"/>
  </r>
  <r>
    <d v="2025-01-08T00:00:00"/>
    <s v="Table"/>
    <s v="Furniture"/>
    <s v="West"/>
    <n v="30000"/>
    <n v="6"/>
    <n v="6000"/>
    <n v="0.2"/>
    <x v="0"/>
  </r>
  <r>
    <d v="2025-01-15T00:00:00"/>
    <s v="Printer"/>
    <s v="Electronics"/>
    <s v="North"/>
    <n v="25000"/>
    <n v="4"/>
    <n v="3000"/>
    <n v="0.12"/>
    <x v="0"/>
  </r>
  <r>
    <d v="2025-02-02T00:00:00"/>
    <s v="Laptop"/>
    <s v="Electronics"/>
    <s v="South"/>
    <n v="90000"/>
    <n v="6"/>
    <n v="18000"/>
    <n v="0.2"/>
    <x v="1"/>
  </r>
  <r>
    <d v="2025-02-07T00:00:00"/>
    <s v="Mobile"/>
    <s v="Electronics"/>
    <s v="East"/>
    <n v="45000"/>
    <n v="9"/>
    <n v="7000"/>
    <n v="0.15555555555555556"/>
    <x v="1"/>
  </r>
  <r>
    <d v="2025-02-11T00:00:00"/>
    <s v="Chair"/>
    <s v="Furniture"/>
    <s v="North"/>
    <n v="22000"/>
    <n v="10"/>
    <n v="3500"/>
    <n v="0.15909090909090909"/>
    <x v="1"/>
  </r>
  <r>
    <d v="2025-02-18T00:00:00"/>
    <s v="Table"/>
    <s v="Furniture"/>
    <s v="South"/>
    <n v="28000"/>
    <n v="5"/>
    <n v="5000"/>
    <n v="0.17857142857142858"/>
    <x v="1"/>
  </r>
  <r>
    <d v="2025-02-25T00:00:00"/>
    <s v="Printer"/>
    <s v="Electronics"/>
    <s v="West"/>
    <n v="27000"/>
    <n v="5"/>
    <n v="4000"/>
    <n v="0.14814814814814814"/>
    <x v="1"/>
  </r>
  <r>
    <d v="2025-03-03T00:00:00"/>
    <s v="Laptop"/>
    <s v="Electronics"/>
    <s v="East"/>
    <n v="80000"/>
    <n v="5"/>
    <n v="14000"/>
    <n v="0.17499999999999999"/>
    <x v="2"/>
  </r>
  <r>
    <d v="2025-03-09T00:00:00"/>
    <s v="Mobile"/>
    <s v="Electronics"/>
    <s v="North"/>
    <n v="55000"/>
    <n v="11"/>
    <n v="9000"/>
    <n v="0.16363636363636364"/>
    <x v="2"/>
  </r>
  <r>
    <d v="2025-03-14T00:00:00"/>
    <s v="Chair"/>
    <s v="Furniture"/>
    <s v="South"/>
    <n v="21000"/>
    <n v="7"/>
    <n v="3000"/>
    <n v="0.14285714285714285"/>
    <x v="2"/>
  </r>
  <r>
    <d v="2025-03-20T00:00:00"/>
    <s v="Table"/>
    <s v="Furniture"/>
    <s v="East"/>
    <n v="35000"/>
    <n v="8"/>
    <n v="7000"/>
    <n v="0.2"/>
    <x v="2"/>
  </r>
  <r>
    <d v="2025-03-28T00:00:00"/>
    <s v="Printer"/>
    <s v="Electronics"/>
    <s v="South"/>
    <n v="30000"/>
    <n v="6"/>
    <n v="4500"/>
    <n v="0.15"/>
    <x v="2"/>
  </r>
  <r>
    <d v="2025-04-04T00:00:00"/>
    <s v="Laptop"/>
    <s v="Electronics"/>
    <s v="West"/>
    <n v="95000"/>
    <n v="7"/>
    <n v="20000"/>
    <n v="0.21052631578947367"/>
    <x v="3"/>
  </r>
  <r>
    <d v="2025-04-10T00:00:00"/>
    <s v="Mobile"/>
    <s v="Electronics"/>
    <s v="South"/>
    <n v="60000"/>
    <n v="12"/>
    <n v="10000"/>
    <n v="0.16666666666666666"/>
    <x v="3"/>
  </r>
  <r>
    <d v="2025-04-16T00:00:00"/>
    <s v="Chair"/>
    <s v="Furniture"/>
    <s v="West"/>
    <n v="25000"/>
    <n v="9"/>
    <n v="5000"/>
    <n v="0.2"/>
    <x v="3"/>
  </r>
  <r>
    <d v="2025-04-22T00:00:00"/>
    <s v="Table"/>
    <s v="Furniture"/>
    <s v="North"/>
    <n v="32000"/>
    <n v="7"/>
    <n v="6500"/>
    <n v="0.203125"/>
    <x v="3"/>
  </r>
  <r>
    <d v="2025-04-29T00:00:00"/>
    <s v="Printer"/>
    <s v="Electronics"/>
    <s v="East"/>
    <n v="26000"/>
    <n v="5"/>
    <n v="3500"/>
    <n v="0.13461538461538461"/>
    <x v="3"/>
  </r>
  <r>
    <d v="2025-05-05T00:00:00"/>
    <s v="Laptop"/>
    <s v="Electronics"/>
    <s v="North"/>
    <n v="88000"/>
    <n v="6"/>
    <n v="17000"/>
    <n v="0.19318181818181818"/>
    <x v="4"/>
  </r>
  <r>
    <d v="2025-05-12T00:00:00"/>
    <s v="Mobile"/>
    <s v="Electronics"/>
    <s v="West"/>
    <n v="52000"/>
    <n v="10"/>
    <n v="8500"/>
    <n v="0.16346153846153846"/>
    <x v="4"/>
  </r>
  <r>
    <d v="2025-05-18T00:00:00"/>
    <s v="Chair"/>
    <s v="Furniture"/>
    <s v="South"/>
    <n v="23000"/>
    <n v="8"/>
    <n v="4000"/>
    <n v="0.17391304347826086"/>
    <x v="4"/>
  </r>
  <r>
    <d v="2025-05-24T00:00:00"/>
    <s v="Table"/>
    <s v="Furniture"/>
    <s v="East"/>
    <n v="36000"/>
    <n v="9"/>
    <n v="7500"/>
    <n v="0.20833333333333334"/>
    <x v="4"/>
  </r>
  <r>
    <d v="2025-05-30T00:00:00"/>
    <s v="Printer"/>
    <s v="Electronics"/>
    <s v="North"/>
    <n v="29000"/>
    <n v="6"/>
    <n v="4200"/>
    <n v="0.1448275862068965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5EF89-50AA-4C4F-8287-E75DA71CACB3}" name="PivotTable2" cacheId="1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9" firstHeaderRow="1" firstDataRow="1" firstDataCol="1"/>
  <pivotFields count="9">
    <pivotField compact="0" numFmtId="164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outline="0" showAll="0"/>
    <pivotField compact="0" numFmtId="165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165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6FB19-6D8C-49C6-A963-A18143C848C3}" name="PivotTable3" cacheId="1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C9" firstHeaderRow="0" firstDataRow="1" firstDataCol="1"/>
  <pivotFields count="9">
    <pivotField compact="0" numFmtId="164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outline="0" showAll="0"/>
    <pivotField dataField="1" compact="0" numFmtId="165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6" baseField="0" baseItem="0" numFmtId="165"/>
    <dataField name="Sum of Sales" fld="4" baseField="0" baseItem="0" numFmtId="165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40352-B3CF-4D21-8786-77C3B4ED58F2}" name="Sales_Data" displayName="Sales_Data" ref="A1:G26" totalsRowShown="0" headerRowDxfId="19">
  <autoFilter ref="A1:G26" xr:uid="{E6D40352-B3CF-4D21-8786-77C3B4ED58F2}"/>
  <tableColumns count="7">
    <tableColumn id="1" xr3:uid="{E9FDD6C0-CFD7-45FF-8BFA-762C7FE677C5}" name="Date" dataDxfId="18"/>
    <tableColumn id="2" xr3:uid="{284FE359-23C3-44D8-A437-E63BA3E48065}" name="Product"/>
    <tableColumn id="3" xr3:uid="{D2694B8A-9478-49C7-AC0F-8C630F0E656C}" name="Category"/>
    <tableColumn id="4" xr3:uid="{0484319E-6F31-4FD1-9E59-264D70F234AF}" name="Region"/>
    <tableColumn id="5" xr3:uid="{B84B2332-46F6-4003-A88E-C906D4226F48}" name="Sales"/>
    <tableColumn id="6" xr3:uid="{1DC7CF34-D30C-46A3-8F25-0214E2DB9175}" name="Quantity"/>
    <tableColumn id="7" xr3:uid="{A0C90DF4-57F7-4459-85D0-B487B5BEC7BE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7319AB-701A-4286-9026-1FD54AA7FC12}" name="Sales_Data3" displayName="Sales_Data3" ref="A1:I26" totalsRowShown="0" headerRowDxfId="17">
  <autoFilter ref="A1:I26" xr:uid="{B17319AB-701A-4286-9026-1FD54AA7FC12}"/>
  <tableColumns count="9">
    <tableColumn id="1" xr3:uid="{436EF416-D229-475D-8095-26CF895357FD}" name="Date" dataDxfId="16"/>
    <tableColumn id="2" xr3:uid="{C778AF4E-19CD-44EC-8318-2F07FC650F26}" name="Product"/>
    <tableColumn id="3" xr3:uid="{16CE8BC1-9348-45F4-A27E-6079E06CA937}" name="Category"/>
    <tableColumn id="4" xr3:uid="{6FC6AB4B-7D97-42FE-B9E9-2920AF75D37F}" name="Region"/>
    <tableColumn id="5" xr3:uid="{FE5E9EC1-A05B-4138-A646-E05640FC44F8}" name="Sales" dataDxfId="15"/>
    <tableColumn id="6" xr3:uid="{116805C9-5BD4-4B5C-BA27-CD0CFF2C6E45}" name="Quantity"/>
    <tableColumn id="7" xr3:uid="{1ED9B3C2-E062-475E-B23E-5AC9B781A46F}" name="Profit" dataDxfId="14"/>
    <tableColumn id="9" xr3:uid="{4CEE2216-B547-4ADF-BE3C-34C7F6C287EA}" name="Profit Margin" dataDxfId="13">
      <calculatedColumnFormula>Sales_Data3[[#This Row],[Profit]]/Sales_Data3[[#This Row],[Sales]]</calculatedColumnFormula>
    </tableColumn>
    <tableColumn id="8" xr3:uid="{EC0C2672-366B-4972-9FA7-1A7FF4D668BA}" name="Month" dataDxfId="12">
      <calculatedColumnFormula>TEXT(Sales_Data3[[#This Row],[Date]],"mmm")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DEE607-D67C-4EAF-8980-6247F077FD02}" name="Product_margin" displayName="Product_margin" ref="A5:D10" totalsRowShown="0" headerRowDxfId="11">
  <autoFilter ref="A5:D10" xr:uid="{D8DEE607-D67C-4EAF-8980-6247F077FD02}"/>
  <tableColumns count="4">
    <tableColumn id="1" xr3:uid="{0D5CE714-73D5-41CA-A3F1-CC98C44EBCBC}" name="Product"/>
    <tableColumn id="2" xr3:uid="{AF2521F6-903B-4A8E-9FAB-E7523CCE278E}" name="Total Sales"/>
    <tableColumn id="3" xr3:uid="{5ABA81E5-E3FC-4F4D-A740-156E433E55AE}" name="Total Profit" dataDxfId="10"/>
    <tableColumn id="4" xr3:uid="{80072326-144E-44F9-8BF1-03F81BF385B1}" name="Profit Margin" dataDxfId="9">
      <calculatedColumnFormula>C6/B6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BE5F2B-C6EB-43C0-96C2-A456F892AB71}" name="Table7" displayName="Table7" ref="A2:D3" totalsRowShown="0" headerRowDxfId="8">
  <autoFilter ref="A2:D3" xr:uid="{B1BE5F2B-C6EB-43C0-96C2-A456F892AB71}"/>
  <tableColumns count="4">
    <tableColumn id="1" xr3:uid="{623F1DD3-1958-4C9E-A788-2E8055F888EF}" name="Total Sales" dataDxfId="7">
      <calculatedColumnFormula>SUM(Sales_Data[Sales])</calculatedColumnFormula>
    </tableColumn>
    <tableColumn id="2" xr3:uid="{E7E0F8A2-461E-4D9B-86EB-B8CE730087CD}" name="Total Profit" dataDxfId="6">
      <calculatedColumnFormula>SUM(Sales_Data[Profit])</calculatedColumnFormula>
    </tableColumn>
    <tableColumn id="3" xr3:uid="{9318B528-9B36-423F-B93E-9CFDA5F77D01}" name="Overall Profit Margin" dataDxfId="5">
      <calculatedColumnFormula>B3/A3</calculatedColumnFormula>
    </tableColumn>
    <tableColumn id="4" xr3:uid="{72FE2F7A-D467-41F5-96AE-DFBE8A9EAC61}" name="Total Quantity Sold">
      <calculatedColumnFormula>SUM(Sales_Data[Quantity])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40AD05-A185-4A78-93D9-6EEFA632B6F0}" name="Table8" displayName="Table8" ref="F5:J9" totalsRowShown="0" headerRowDxfId="4">
  <autoFilter ref="F5:J9" xr:uid="{7740AD05-A185-4A78-93D9-6EEFA632B6F0}"/>
  <tableColumns count="5">
    <tableColumn id="1" xr3:uid="{CD0494F0-A9C9-456D-ABAA-211081A3ED0E}" name="Region"/>
    <tableColumn id="2" xr3:uid="{39809132-4C83-41AB-9B82-1C534AE2CDE9}" name="Total Sales" dataDxfId="3"/>
    <tableColumn id="3" xr3:uid="{2C0E7A2D-07D4-4BB6-8128-F6B1E0269242}" name="Total Profit" dataDxfId="2"/>
    <tableColumn id="4" xr3:uid="{AB467995-52A5-4A5B-AC2E-09C403A2301E}" name="Contribution %" dataDxfId="1">
      <calculatedColumnFormula>G6/A$3</calculatedColumnFormula>
    </tableColumn>
    <tableColumn id="5" xr3:uid="{0B6381DF-190B-4DFD-8C8D-AEE06D658979}" name="Margin%" dataDxfId="0">
      <calculatedColumnFormula>H6/G6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>
      <selection activeCell="G26" sqref="G26"/>
    </sheetView>
  </sheetViews>
  <sheetFormatPr defaultRowHeight="15"/>
  <cols>
    <col min="1" max="1" width="10.85546875" bestFit="1" customWidth="1"/>
    <col min="2" max="2" width="10.140625" bestFit="1" customWidth="1"/>
    <col min="3" max="3" width="11.140625" bestFit="1" customWidth="1"/>
    <col min="6" max="6" width="10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2">
        <v>45658</v>
      </c>
      <c r="B2" t="s">
        <v>7</v>
      </c>
      <c r="C2" t="s">
        <v>8</v>
      </c>
      <c r="D2" t="s">
        <v>9</v>
      </c>
      <c r="E2">
        <v>75000</v>
      </c>
      <c r="F2">
        <v>5</v>
      </c>
      <c r="G2">
        <v>15000</v>
      </c>
    </row>
    <row r="3" spans="1:8">
      <c r="A3" s="2">
        <v>45660</v>
      </c>
      <c r="B3" t="s">
        <v>10</v>
      </c>
      <c r="C3" t="s">
        <v>8</v>
      </c>
      <c r="D3" t="s">
        <v>11</v>
      </c>
      <c r="E3">
        <v>50000</v>
      </c>
      <c r="F3">
        <v>10</v>
      </c>
      <c r="G3">
        <v>8000</v>
      </c>
    </row>
    <row r="4" spans="1:8">
      <c r="A4" s="2">
        <v>45662</v>
      </c>
      <c r="B4" t="s">
        <v>12</v>
      </c>
      <c r="C4" t="s">
        <v>13</v>
      </c>
      <c r="D4" t="s">
        <v>14</v>
      </c>
      <c r="E4">
        <v>20000</v>
      </c>
      <c r="F4">
        <v>8</v>
      </c>
      <c r="G4">
        <v>4000</v>
      </c>
    </row>
    <row r="5" spans="1:8">
      <c r="A5" s="2">
        <v>45665</v>
      </c>
      <c r="B5" t="s">
        <v>15</v>
      </c>
      <c r="C5" t="s">
        <v>13</v>
      </c>
      <c r="D5" t="s">
        <v>16</v>
      </c>
      <c r="E5">
        <v>30000</v>
      </c>
      <c r="F5">
        <v>6</v>
      </c>
      <c r="G5">
        <v>6000</v>
      </c>
    </row>
    <row r="6" spans="1:8">
      <c r="A6" s="2">
        <v>45672</v>
      </c>
      <c r="B6" t="s">
        <v>17</v>
      </c>
      <c r="C6" t="s">
        <v>8</v>
      </c>
      <c r="D6" t="s">
        <v>9</v>
      </c>
      <c r="E6">
        <v>25000</v>
      </c>
      <c r="F6">
        <v>4</v>
      </c>
      <c r="G6">
        <v>3000</v>
      </c>
    </row>
    <row r="7" spans="1:8">
      <c r="A7" s="2">
        <v>45690</v>
      </c>
      <c r="B7" t="s">
        <v>7</v>
      </c>
      <c r="C7" t="s">
        <v>8</v>
      </c>
      <c r="D7" t="s">
        <v>11</v>
      </c>
      <c r="E7">
        <v>90000</v>
      </c>
      <c r="F7">
        <v>6</v>
      </c>
      <c r="G7">
        <v>18000</v>
      </c>
    </row>
    <row r="8" spans="1:8">
      <c r="A8" s="2">
        <v>45695</v>
      </c>
      <c r="B8" t="s">
        <v>10</v>
      </c>
      <c r="C8" t="s">
        <v>8</v>
      </c>
      <c r="D8" t="s">
        <v>14</v>
      </c>
      <c r="E8">
        <v>45000</v>
      </c>
      <c r="F8">
        <v>9</v>
      </c>
      <c r="G8">
        <v>7000</v>
      </c>
    </row>
    <row r="9" spans="1:8">
      <c r="A9" s="2">
        <v>45699</v>
      </c>
      <c r="B9" t="s">
        <v>12</v>
      </c>
      <c r="C9" t="s">
        <v>13</v>
      </c>
      <c r="D9" t="s">
        <v>9</v>
      </c>
      <c r="E9">
        <v>22000</v>
      </c>
      <c r="F9">
        <v>10</v>
      </c>
      <c r="G9">
        <v>3500</v>
      </c>
    </row>
    <row r="10" spans="1:8">
      <c r="A10" s="2">
        <v>45706</v>
      </c>
      <c r="B10" t="s">
        <v>15</v>
      </c>
      <c r="C10" t="s">
        <v>13</v>
      </c>
      <c r="D10" t="s">
        <v>11</v>
      </c>
      <c r="E10">
        <v>28000</v>
      </c>
      <c r="F10">
        <v>5</v>
      </c>
      <c r="G10">
        <v>5000</v>
      </c>
    </row>
    <row r="11" spans="1:8">
      <c r="A11" s="2">
        <v>45713</v>
      </c>
      <c r="B11" t="s">
        <v>17</v>
      </c>
      <c r="C11" t="s">
        <v>8</v>
      </c>
      <c r="D11" t="s">
        <v>16</v>
      </c>
      <c r="E11">
        <v>27000</v>
      </c>
      <c r="F11">
        <v>5</v>
      </c>
      <c r="G11">
        <v>4000</v>
      </c>
    </row>
    <row r="12" spans="1:8">
      <c r="A12" s="2">
        <v>45719</v>
      </c>
      <c r="B12" t="s">
        <v>7</v>
      </c>
      <c r="C12" t="s">
        <v>8</v>
      </c>
      <c r="D12" t="s">
        <v>14</v>
      </c>
      <c r="E12">
        <v>80000</v>
      </c>
      <c r="F12">
        <v>5</v>
      </c>
      <c r="G12">
        <v>14000</v>
      </c>
    </row>
    <row r="13" spans="1:8">
      <c r="A13" s="2">
        <v>45725</v>
      </c>
      <c r="B13" t="s">
        <v>10</v>
      </c>
      <c r="C13" t="s">
        <v>8</v>
      </c>
      <c r="D13" t="s">
        <v>9</v>
      </c>
      <c r="E13">
        <v>55000</v>
      </c>
      <c r="F13">
        <v>11</v>
      </c>
      <c r="G13">
        <v>9000</v>
      </c>
    </row>
    <row r="14" spans="1:8">
      <c r="A14" s="2">
        <v>45730</v>
      </c>
      <c r="B14" t="s">
        <v>12</v>
      </c>
      <c r="C14" t="s">
        <v>13</v>
      </c>
      <c r="D14" t="s">
        <v>11</v>
      </c>
      <c r="E14">
        <v>21000</v>
      </c>
      <c r="F14">
        <v>7</v>
      </c>
      <c r="G14">
        <v>3000</v>
      </c>
    </row>
    <row r="15" spans="1:8">
      <c r="A15" s="2">
        <v>45736</v>
      </c>
      <c r="B15" t="s">
        <v>15</v>
      </c>
      <c r="C15" t="s">
        <v>13</v>
      </c>
      <c r="D15" t="s">
        <v>14</v>
      </c>
      <c r="E15">
        <v>35000</v>
      </c>
      <c r="F15">
        <v>8</v>
      </c>
      <c r="G15">
        <v>7000</v>
      </c>
    </row>
    <row r="16" spans="1:8">
      <c r="A16" s="2">
        <v>45744</v>
      </c>
      <c r="B16" t="s">
        <v>17</v>
      </c>
      <c r="C16" t="s">
        <v>8</v>
      </c>
      <c r="D16" t="s">
        <v>11</v>
      </c>
      <c r="E16">
        <v>30000</v>
      </c>
      <c r="F16">
        <v>6</v>
      </c>
      <c r="G16">
        <v>4500</v>
      </c>
    </row>
    <row r="17" spans="1:7">
      <c r="A17" s="2">
        <v>45751</v>
      </c>
      <c r="B17" t="s">
        <v>7</v>
      </c>
      <c r="C17" t="s">
        <v>8</v>
      </c>
      <c r="D17" t="s">
        <v>16</v>
      </c>
      <c r="E17">
        <v>95000</v>
      </c>
      <c r="F17">
        <v>7</v>
      </c>
      <c r="G17">
        <v>20000</v>
      </c>
    </row>
    <row r="18" spans="1:7">
      <c r="A18" s="2">
        <v>45757</v>
      </c>
      <c r="B18" t="s">
        <v>10</v>
      </c>
      <c r="C18" t="s">
        <v>8</v>
      </c>
      <c r="D18" t="s">
        <v>11</v>
      </c>
      <c r="E18">
        <v>60000</v>
      </c>
      <c r="F18">
        <v>12</v>
      </c>
      <c r="G18">
        <v>10000</v>
      </c>
    </row>
    <row r="19" spans="1:7">
      <c r="A19" s="2">
        <v>45763</v>
      </c>
      <c r="B19" t="s">
        <v>12</v>
      </c>
      <c r="C19" t="s">
        <v>13</v>
      </c>
      <c r="D19" t="s">
        <v>16</v>
      </c>
      <c r="E19">
        <v>25000</v>
      </c>
      <c r="F19">
        <v>9</v>
      </c>
      <c r="G19">
        <v>5000</v>
      </c>
    </row>
    <row r="20" spans="1:7">
      <c r="A20" s="2">
        <v>45769</v>
      </c>
      <c r="B20" t="s">
        <v>15</v>
      </c>
      <c r="C20" t="s">
        <v>13</v>
      </c>
      <c r="D20" t="s">
        <v>9</v>
      </c>
      <c r="E20">
        <v>32000</v>
      </c>
      <c r="F20">
        <v>7</v>
      </c>
      <c r="G20">
        <v>6500</v>
      </c>
    </row>
    <row r="21" spans="1:7">
      <c r="A21" s="2">
        <v>45776</v>
      </c>
      <c r="B21" t="s">
        <v>17</v>
      </c>
      <c r="C21" t="s">
        <v>8</v>
      </c>
      <c r="D21" t="s">
        <v>14</v>
      </c>
      <c r="E21">
        <v>26000</v>
      </c>
      <c r="F21">
        <v>5</v>
      </c>
      <c r="G21">
        <v>3500</v>
      </c>
    </row>
    <row r="22" spans="1:7">
      <c r="A22" s="2">
        <v>45782</v>
      </c>
      <c r="B22" t="s">
        <v>7</v>
      </c>
      <c r="C22" t="s">
        <v>8</v>
      </c>
      <c r="D22" t="s">
        <v>9</v>
      </c>
      <c r="E22">
        <v>88000</v>
      </c>
      <c r="F22">
        <v>6</v>
      </c>
      <c r="G22">
        <v>17000</v>
      </c>
    </row>
    <row r="23" spans="1:7">
      <c r="A23" s="2">
        <v>45789</v>
      </c>
      <c r="B23" t="s">
        <v>10</v>
      </c>
      <c r="C23" t="s">
        <v>8</v>
      </c>
      <c r="D23" t="s">
        <v>16</v>
      </c>
      <c r="E23">
        <v>52000</v>
      </c>
      <c r="F23">
        <v>10</v>
      </c>
      <c r="G23">
        <v>8500</v>
      </c>
    </row>
    <row r="24" spans="1:7">
      <c r="A24" s="2">
        <v>45795</v>
      </c>
      <c r="B24" t="s">
        <v>12</v>
      </c>
      <c r="C24" t="s">
        <v>13</v>
      </c>
      <c r="D24" t="s">
        <v>11</v>
      </c>
      <c r="E24">
        <v>23000</v>
      </c>
      <c r="F24">
        <v>8</v>
      </c>
      <c r="G24">
        <v>4000</v>
      </c>
    </row>
    <row r="25" spans="1:7">
      <c r="A25" s="2">
        <v>45801</v>
      </c>
      <c r="B25" t="s">
        <v>15</v>
      </c>
      <c r="C25" t="s">
        <v>13</v>
      </c>
      <c r="D25" t="s">
        <v>14</v>
      </c>
      <c r="E25">
        <v>36000</v>
      </c>
      <c r="F25">
        <v>9</v>
      </c>
      <c r="G25">
        <v>7500</v>
      </c>
    </row>
    <row r="26" spans="1:7">
      <c r="A26" s="2">
        <v>45807</v>
      </c>
      <c r="B26" t="s">
        <v>17</v>
      </c>
      <c r="C26" t="s">
        <v>8</v>
      </c>
      <c r="D26" t="s">
        <v>9</v>
      </c>
      <c r="E26">
        <v>29000</v>
      </c>
      <c r="F26">
        <v>6</v>
      </c>
      <c r="G26">
        <v>4200</v>
      </c>
    </row>
    <row r="27" spans="1:7">
      <c r="A2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6D68-9F63-4DF6-A667-3605AFA83952}">
  <dimension ref="A1:I26"/>
  <sheetViews>
    <sheetView topLeftCell="A19" workbookViewId="0">
      <selection activeCell="J11" sqref="J11"/>
    </sheetView>
  </sheetViews>
  <sheetFormatPr defaultRowHeight="15"/>
  <cols>
    <col min="1" max="1" width="15.7109375" style="4" bestFit="1" customWidth="1"/>
    <col min="3" max="3" width="11.140625" bestFit="1" customWidth="1"/>
    <col min="5" max="5" width="11" style="6" bestFit="1" customWidth="1"/>
    <col min="7" max="7" width="11" style="6" bestFit="1" customWidth="1"/>
    <col min="8" max="8" width="14.42578125" bestFit="1" customWidth="1"/>
  </cols>
  <sheetData>
    <row r="1" spans="1:9">
      <c r="A1" s="3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5" t="s">
        <v>6</v>
      </c>
      <c r="H1" s="1" t="s">
        <v>18</v>
      </c>
      <c r="I1" s="1" t="s">
        <v>19</v>
      </c>
    </row>
    <row r="2" spans="1:9">
      <c r="A2" s="4">
        <v>45658</v>
      </c>
      <c r="B2" t="s">
        <v>7</v>
      </c>
      <c r="C2" t="s">
        <v>8</v>
      </c>
      <c r="D2" t="s">
        <v>9</v>
      </c>
      <c r="E2" s="6">
        <v>75000</v>
      </c>
      <c r="F2">
        <v>5</v>
      </c>
      <c r="G2" s="6">
        <v>15000</v>
      </c>
      <c r="H2">
        <f>Sales_Data3[[#This Row],[Profit]]/Sales_Data3[[#This Row],[Sales]]</f>
        <v>0.2</v>
      </c>
      <c r="I2" t="str">
        <f>TEXT(Sales_Data3[[#This Row],[Date]],"mmm")</f>
        <v>Jan</v>
      </c>
    </row>
    <row r="3" spans="1:9">
      <c r="A3" s="4">
        <v>45660</v>
      </c>
      <c r="B3" t="s">
        <v>10</v>
      </c>
      <c r="C3" t="s">
        <v>8</v>
      </c>
      <c r="D3" t="s">
        <v>11</v>
      </c>
      <c r="E3" s="6">
        <v>50000</v>
      </c>
      <c r="F3">
        <v>10</v>
      </c>
      <c r="G3" s="6">
        <v>8000</v>
      </c>
      <c r="H3">
        <f>Sales_Data3[[#This Row],[Profit]]/Sales_Data3[[#This Row],[Sales]]</f>
        <v>0.16</v>
      </c>
      <c r="I3" t="str">
        <f>TEXT(Sales_Data3[[#This Row],[Date]],"mmm")</f>
        <v>Jan</v>
      </c>
    </row>
    <row r="4" spans="1:9">
      <c r="A4" s="4">
        <v>45662</v>
      </c>
      <c r="B4" t="s">
        <v>12</v>
      </c>
      <c r="C4" t="s">
        <v>13</v>
      </c>
      <c r="D4" t="s">
        <v>14</v>
      </c>
      <c r="E4" s="6">
        <v>20000</v>
      </c>
      <c r="F4">
        <v>8</v>
      </c>
      <c r="G4" s="6">
        <v>4000</v>
      </c>
      <c r="H4">
        <f>Sales_Data3[[#This Row],[Profit]]/Sales_Data3[[#This Row],[Sales]]</f>
        <v>0.2</v>
      </c>
      <c r="I4" t="str">
        <f>TEXT(Sales_Data3[[#This Row],[Date]],"mmm")</f>
        <v>Jan</v>
      </c>
    </row>
    <row r="5" spans="1:9">
      <c r="A5" s="4">
        <v>45665</v>
      </c>
      <c r="B5" t="s">
        <v>15</v>
      </c>
      <c r="C5" t="s">
        <v>13</v>
      </c>
      <c r="D5" t="s">
        <v>16</v>
      </c>
      <c r="E5" s="6">
        <v>30000</v>
      </c>
      <c r="F5">
        <v>6</v>
      </c>
      <c r="G5" s="6">
        <v>6000</v>
      </c>
      <c r="H5">
        <f>Sales_Data3[[#This Row],[Profit]]/Sales_Data3[[#This Row],[Sales]]</f>
        <v>0.2</v>
      </c>
      <c r="I5" t="str">
        <f>TEXT(Sales_Data3[[#This Row],[Date]],"mmm")</f>
        <v>Jan</v>
      </c>
    </row>
    <row r="6" spans="1:9">
      <c r="A6" s="4">
        <v>45672</v>
      </c>
      <c r="B6" t="s">
        <v>17</v>
      </c>
      <c r="C6" t="s">
        <v>8</v>
      </c>
      <c r="D6" t="s">
        <v>9</v>
      </c>
      <c r="E6" s="6">
        <v>25000</v>
      </c>
      <c r="F6">
        <v>4</v>
      </c>
      <c r="G6" s="6">
        <v>3000</v>
      </c>
      <c r="H6">
        <f>Sales_Data3[[#This Row],[Profit]]/Sales_Data3[[#This Row],[Sales]]</f>
        <v>0.12</v>
      </c>
      <c r="I6" t="str">
        <f>TEXT(Sales_Data3[[#This Row],[Date]],"mmm")</f>
        <v>Jan</v>
      </c>
    </row>
    <row r="7" spans="1:9">
      <c r="A7" s="4">
        <v>45690</v>
      </c>
      <c r="B7" t="s">
        <v>7</v>
      </c>
      <c r="C7" t="s">
        <v>8</v>
      </c>
      <c r="D7" t="s">
        <v>11</v>
      </c>
      <c r="E7" s="6">
        <v>90000</v>
      </c>
      <c r="F7">
        <v>6</v>
      </c>
      <c r="G7" s="6">
        <v>18000</v>
      </c>
      <c r="H7">
        <f>Sales_Data3[[#This Row],[Profit]]/Sales_Data3[[#This Row],[Sales]]</f>
        <v>0.2</v>
      </c>
      <c r="I7" t="str">
        <f>TEXT(Sales_Data3[[#This Row],[Date]],"mmm")</f>
        <v>Feb</v>
      </c>
    </row>
    <row r="8" spans="1:9">
      <c r="A8" s="4">
        <v>45695</v>
      </c>
      <c r="B8" t="s">
        <v>10</v>
      </c>
      <c r="C8" t="s">
        <v>8</v>
      </c>
      <c r="D8" t="s">
        <v>14</v>
      </c>
      <c r="E8" s="6">
        <v>45000</v>
      </c>
      <c r="F8">
        <v>9</v>
      </c>
      <c r="G8" s="6">
        <v>7000</v>
      </c>
      <c r="H8">
        <f>Sales_Data3[[#This Row],[Profit]]/Sales_Data3[[#This Row],[Sales]]</f>
        <v>0.15555555555555556</v>
      </c>
      <c r="I8" t="str">
        <f>TEXT(Sales_Data3[[#This Row],[Date]],"mmm")</f>
        <v>Feb</v>
      </c>
    </row>
    <row r="9" spans="1:9">
      <c r="A9" s="4">
        <v>45699</v>
      </c>
      <c r="B9" t="s">
        <v>12</v>
      </c>
      <c r="C9" t="s">
        <v>13</v>
      </c>
      <c r="D9" t="s">
        <v>9</v>
      </c>
      <c r="E9" s="6">
        <v>22000</v>
      </c>
      <c r="F9">
        <v>10</v>
      </c>
      <c r="G9" s="6">
        <v>3500</v>
      </c>
      <c r="H9">
        <f>Sales_Data3[[#This Row],[Profit]]/Sales_Data3[[#This Row],[Sales]]</f>
        <v>0.15909090909090909</v>
      </c>
      <c r="I9" t="str">
        <f>TEXT(Sales_Data3[[#This Row],[Date]],"mmm")</f>
        <v>Feb</v>
      </c>
    </row>
    <row r="10" spans="1:9">
      <c r="A10" s="4">
        <v>45706</v>
      </c>
      <c r="B10" t="s">
        <v>15</v>
      </c>
      <c r="C10" t="s">
        <v>13</v>
      </c>
      <c r="D10" t="s">
        <v>11</v>
      </c>
      <c r="E10" s="6">
        <v>28000</v>
      </c>
      <c r="F10">
        <v>5</v>
      </c>
      <c r="G10" s="6">
        <v>5000</v>
      </c>
      <c r="H10">
        <f>Sales_Data3[[#This Row],[Profit]]/Sales_Data3[[#This Row],[Sales]]</f>
        <v>0.17857142857142858</v>
      </c>
      <c r="I10" t="str">
        <f>TEXT(Sales_Data3[[#This Row],[Date]],"mmm")</f>
        <v>Feb</v>
      </c>
    </row>
    <row r="11" spans="1:9">
      <c r="A11" s="4">
        <v>45713</v>
      </c>
      <c r="B11" t="s">
        <v>17</v>
      </c>
      <c r="C11" t="s">
        <v>8</v>
      </c>
      <c r="D11" t="s">
        <v>16</v>
      </c>
      <c r="E11" s="6">
        <v>27000</v>
      </c>
      <c r="F11">
        <v>5</v>
      </c>
      <c r="G11" s="6">
        <v>4000</v>
      </c>
      <c r="H11">
        <f>Sales_Data3[[#This Row],[Profit]]/Sales_Data3[[#This Row],[Sales]]</f>
        <v>0.14814814814814814</v>
      </c>
      <c r="I11" t="str">
        <f>TEXT(Sales_Data3[[#This Row],[Date]],"mmm")</f>
        <v>Feb</v>
      </c>
    </row>
    <row r="12" spans="1:9">
      <c r="A12" s="4">
        <v>45719</v>
      </c>
      <c r="B12" t="s">
        <v>7</v>
      </c>
      <c r="C12" t="s">
        <v>8</v>
      </c>
      <c r="D12" t="s">
        <v>14</v>
      </c>
      <c r="E12" s="6">
        <v>80000</v>
      </c>
      <c r="F12">
        <v>5</v>
      </c>
      <c r="G12" s="6">
        <v>14000</v>
      </c>
      <c r="H12">
        <f>Sales_Data3[[#This Row],[Profit]]/Sales_Data3[[#This Row],[Sales]]</f>
        <v>0.17499999999999999</v>
      </c>
      <c r="I12" t="str">
        <f>TEXT(Sales_Data3[[#This Row],[Date]],"mmm")</f>
        <v>Mar</v>
      </c>
    </row>
    <row r="13" spans="1:9">
      <c r="A13" s="4">
        <v>45725</v>
      </c>
      <c r="B13" t="s">
        <v>10</v>
      </c>
      <c r="C13" t="s">
        <v>8</v>
      </c>
      <c r="D13" t="s">
        <v>9</v>
      </c>
      <c r="E13" s="6">
        <v>55000</v>
      </c>
      <c r="F13">
        <v>11</v>
      </c>
      <c r="G13" s="6">
        <v>9000</v>
      </c>
      <c r="H13">
        <f>Sales_Data3[[#This Row],[Profit]]/Sales_Data3[[#This Row],[Sales]]</f>
        <v>0.16363636363636364</v>
      </c>
      <c r="I13" t="str">
        <f>TEXT(Sales_Data3[[#This Row],[Date]],"mmm")</f>
        <v>Mar</v>
      </c>
    </row>
    <row r="14" spans="1:9">
      <c r="A14" s="4">
        <v>45730</v>
      </c>
      <c r="B14" t="s">
        <v>12</v>
      </c>
      <c r="C14" t="s">
        <v>13</v>
      </c>
      <c r="D14" t="s">
        <v>11</v>
      </c>
      <c r="E14" s="6">
        <v>21000</v>
      </c>
      <c r="F14">
        <v>7</v>
      </c>
      <c r="G14" s="6">
        <v>3000</v>
      </c>
      <c r="H14">
        <f>Sales_Data3[[#This Row],[Profit]]/Sales_Data3[[#This Row],[Sales]]</f>
        <v>0.14285714285714285</v>
      </c>
      <c r="I14" t="str">
        <f>TEXT(Sales_Data3[[#This Row],[Date]],"mmm")</f>
        <v>Mar</v>
      </c>
    </row>
    <row r="15" spans="1:9">
      <c r="A15" s="4">
        <v>45736</v>
      </c>
      <c r="B15" t="s">
        <v>15</v>
      </c>
      <c r="C15" t="s">
        <v>13</v>
      </c>
      <c r="D15" t="s">
        <v>14</v>
      </c>
      <c r="E15" s="6">
        <v>35000</v>
      </c>
      <c r="F15">
        <v>8</v>
      </c>
      <c r="G15" s="6">
        <v>7000</v>
      </c>
      <c r="H15">
        <f>Sales_Data3[[#This Row],[Profit]]/Sales_Data3[[#This Row],[Sales]]</f>
        <v>0.2</v>
      </c>
      <c r="I15" t="str">
        <f>TEXT(Sales_Data3[[#This Row],[Date]],"mmm")</f>
        <v>Mar</v>
      </c>
    </row>
    <row r="16" spans="1:9">
      <c r="A16" s="4">
        <v>45744</v>
      </c>
      <c r="B16" t="s">
        <v>17</v>
      </c>
      <c r="C16" t="s">
        <v>8</v>
      </c>
      <c r="D16" t="s">
        <v>11</v>
      </c>
      <c r="E16" s="6">
        <v>30000</v>
      </c>
      <c r="F16">
        <v>6</v>
      </c>
      <c r="G16" s="6">
        <v>4500</v>
      </c>
      <c r="H16">
        <f>Sales_Data3[[#This Row],[Profit]]/Sales_Data3[[#This Row],[Sales]]</f>
        <v>0.15</v>
      </c>
      <c r="I16" t="str">
        <f>TEXT(Sales_Data3[[#This Row],[Date]],"mmm")</f>
        <v>Mar</v>
      </c>
    </row>
    <row r="17" spans="1:9">
      <c r="A17" s="4">
        <v>45751</v>
      </c>
      <c r="B17" t="s">
        <v>7</v>
      </c>
      <c r="C17" t="s">
        <v>8</v>
      </c>
      <c r="D17" t="s">
        <v>16</v>
      </c>
      <c r="E17" s="6">
        <v>95000</v>
      </c>
      <c r="F17">
        <v>7</v>
      </c>
      <c r="G17" s="6">
        <v>20000</v>
      </c>
      <c r="H17">
        <f>Sales_Data3[[#This Row],[Profit]]/Sales_Data3[[#This Row],[Sales]]</f>
        <v>0.21052631578947367</v>
      </c>
      <c r="I17" t="str">
        <f>TEXT(Sales_Data3[[#This Row],[Date]],"mmm")</f>
        <v>Apr</v>
      </c>
    </row>
    <row r="18" spans="1:9">
      <c r="A18" s="4">
        <v>45757</v>
      </c>
      <c r="B18" t="s">
        <v>10</v>
      </c>
      <c r="C18" t="s">
        <v>8</v>
      </c>
      <c r="D18" t="s">
        <v>11</v>
      </c>
      <c r="E18" s="6">
        <v>60000</v>
      </c>
      <c r="F18">
        <v>12</v>
      </c>
      <c r="G18" s="6">
        <v>10000</v>
      </c>
      <c r="H18">
        <f>Sales_Data3[[#This Row],[Profit]]/Sales_Data3[[#This Row],[Sales]]</f>
        <v>0.16666666666666666</v>
      </c>
      <c r="I18" t="str">
        <f>TEXT(Sales_Data3[[#This Row],[Date]],"mmm")</f>
        <v>Apr</v>
      </c>
    </row>
    <row r="19" spans="1:9">
      <c r="A19" s="4">
        <v>45763</v>
      </c>
      <c r="B19" t="s">
        <v>12</v>
      </c>
      <c r="C19" t="s">
        <v>13</v>
      </c>
      <c r="D19" t="s">
        <v>16</v>
      </c>
      <c r="E19" s="6">
        <v>25000</v>
      </c>
      <c r="F19">
        <v>9</v>
      </c>
      <c r="G19" s="6">
        <v>5000</v>
      </c>
      <c r="H19">
        <f>Sales_Data3[[#This Row],[Profit]]/Sales_Data3[[#This Row],[Sales]]</f>
        <v>0.2</v>
      </c>
      <c r="I19" t="str">
        <f>TEXT(Sales_Data3[[#This Row],[Date]],"mmm")</f>
        <v>Apr</v>
      </c>
    </row>
    <row r="20" spans="1:9">
      <c r="A20" s="4">
        <v>45769</v>
      </c>
      <c r="B20" t="s">
        <v>15</v>
      </c>
      <c r="C20" t="s">
        <v>13</v>
      </c>
      <c r="D20" t="s">
        <v>9</v>
      </c>
      <c r="E20" s="6">
        <v>32000</v>
      </c>
      <c r="F20">
        <v>7</v>
      </c>
      <c r="G20" s="6">
        <v>6500</v>
      </c>
      <c r="H20">
        <f>Sales_Data3[[#This Row],[Profit]]/Sales_Data3[[#This Row],[Sales]]</f>
        <v>0.203125</v>
      </c>
      <c r="I20" t="str">
        <f>TEXT(Sales_Data3[[#This Row],[Date]],"mmm")</f>
        <v>Apr</v>
      </c>
    </row>
    <row r="21" spans="1:9">
      <c r="A21" s="4">
        <v>45776</v>
      </c>
      <c r="B21" t="s">
        <v>17</v>
      </c>
      <c r="C21" t="s">
        <v>8</v>
      </c>
      <c r="D21" t="s">
        <v>14</v>
      </c>
      <c r="E21" s="6">
        <v>26000</v>
      </c>
      <c r="F21">
        <v>5</v>
      </c>
      <c r="G21" s="6">
        <v>3500</v>
      </c>
      <c r="H21">
        <f>Sales_Data3[[#This Row],[Profit]]/Sales_Data3[[#This Row],[Sales]]</f>
        <v>0.13461538461538461</v>
      </c>
      <c r="I21" t="str">
        <f>TEXT(Sales_Data3[[#This Row],[Date]],"mmm")</f>
        <v>Apr</v>
      </c>
    </row>
    <row r="22" spans="1:9">
      <c r="A22" s="4">
        <v>45782</v>
      </c>
      <c r="B22" t="s">
        <v>7</v>
      </c>
      <c r="C22" t="s">
        <v>8</v>
      </c>
      <c r="D22" t="s">
        <v>9</v>
      </c>
      <c r="E22" s="6">
        <v>88000</v>
      </c>
      <c r="F22">
        <v>6</v>
      </c>
      <c r="G22" s="6">
        <v>17000</v>
      </c>
      <c r="H22">
        <f>Sales_Data3[[#This Row],[Profit]]/Sales_Data3[[#This Row],[Sales]]</f>
        <v>0.19318181818181818</v>
      </c>
      <c r="I22" t="str">
        <f>TEXT(Sales_Data3[[#This Row],[Date]],"mmm")</f>
        <v>May</v>
      </c>
    </row>
    <row r="23" spans="1:9">
      <c r="A23" s="4">
        <v>45789</v>
      </c>
      <c r="B23" t="s">
        <v>10</v>
      </c>
      <c r="C23" t="s">
        <v>8</v>
      </c>
      <c r="D23" t="s">
        <v>16</v>
      </c>
      <c r="E23" s="6">
        <v>52000</v>
      </c>
      <c r="F23">
        <v>10</v>
      </c>
      <c r="G23" s="6">
        <v>8500</v>
      </c>
      <c r="H23">
        <f>Sales_Data3[[#This Row],[Profit]]/Sales_Data3[[#This Row],[Sales]]</f>
        <v>0.16346153846153846</v>
      </c>
      <c r="I23" t="str">
        <f>TEXT(Sales_Data3[[#This Row],[Date]],"mmm")</f>
        <v>May</v>
      </c>
    </row>
    <row r="24" spans="1:9">
      <c r="A24" s="4">
        <v>45795</v>
      </c>
      <c r="B24" t="s">
        <v>12</v>
      </c>
      <c r="C24" t="s">
        <v>13</v>
      </c>
      <c r="D24" t="s">
        <v>11</v>
      </c>
      <c r="E24" s="6">
        <v>23000</v>
      </c>
      <c r="F24">
        <v>8</v>
      </c>
      <c r="G24" s="6">
        <v>4000</v>
      </c>
      <c r="H24">
        <f>Sales_Data3[[#This Row],[Profit]]/Sales_Data3[[#This Row],[Sales]]</f>
        <v>0.17391304347826086</v>
      </c>
      <c r="I24" t="str">
        <f>TEXT(Sales_Data3[[#This Row],[Date]],"mmm")</f>
        <v>May</v>
      </c>
    </row>
    <row r="25" spans="1:9">
      <c r="A25" s="4">
        <v>45801</v>
      </c>
      <c r="B25" t="s">
        <v>15</v>
      </c>
      <c r="C25" t="s">
        <v>13</v>
      </c>
      <c r="D25" t="s">
        <v>14</v>
      </c>
      <c r="E25" s="6">
        <v>36000</v>
      </c>
      <c r="F25">
        <v>9</v>
      </c>
      <c r="G25" s="6">
        <v>7500</v>
      </c>
      <c r="H25">
        <f>Sales_Data3[[#This Row],[Profit]]/Sales_Data3[[#This Row],[Sales]]</f>
        <v>0.20833333333333334</v>
      </c>
      <c r="I25" t="str">
        <f>TEXT(Sales_Data3[[#This Row],[Date]],"mmm")</f>
        <v>May</v>
      </c>
    </row>
    <row r="26" spans="1:9">
      <c r="A26" s="4">
        <v>45807</v>
      </c>
      <c r="B26" t="s">
        <v>17</v>
      </c>
      <c r="C26" t="s">
        <v>8</v>
      </c>
      <c r="D26" t="s">
        <v>9</v>
      </c>
      <c r="E26" s="6">
        <v>29000</v>
      </c>
      <c r="F26">
        <v>6</v>
      </c>
      <c r="G26" s="6">
        <v>4200</v>
      </c>
      <c r="H26">
        <f>Sales_Data3[[#This Row],[Profit]]/Sales_Data3[[#This Row],[Sales]]</f>
        <v>0.14482758620689656</v>
      </c>
      <c r="I26" t="str">
        <f>TEXT(Sales_Data3[[#This Row],[Date]],"mmm")</f>
        <v>May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CF64-70CE-4EDE-A7BA-6486337B2218}">
  <dimension ref="A1:T10"/>
  <sheetViews>
    <sheetView workbookViewId="0">
      <selection activeCell="A3" sqref="A3:B3"/>
    </sheetView>
  </sheetViews>
  <sheetFormatPr defaultRowHeight="15"/>
  <cols>
    <col min="1" max="1" width="13.85546875" bestFit="1" customWidth="1"/>
    <col min="2" max="2" width="12.85546875" bestFit="1" customWidth="1"/>
    <col min="3" max="3" width="21.140625" bestFit="1" customWidth="1"/>
    <col min="4" max="4" width="19.85546875" bestFit="1" customWidth="1"/>
    <col min="7" max="7" width="12.85546875" bestFit="1" customWidth="1"/>
    <col min="8" max="8" width="24.7109375" bestFit="1" customWidth="1"/>
    <col min="9" max="9" width="16.42578125" bestFit="1" customWidth="1"/>
    <col min="10" max="10" width="10.7109375" bestFit="1" customWidth="1"/>
  </cols>
  <sheetData>
    <row r="1" spans="1:20">
      <c r="A1" s="15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20">
      <c r="A2" s="1" t="s">
        <v>21</v>
      </c>
      <c r="B2" s="1" t="s">
        <v>22</v>
      </c>
      <c r="C2" s="1" t="s">
        <v>23</v>
      </c>
      <c r="D2" s="1" t="s">
        <v>24</v>
      </c>
    </row>
    <row r="3" spans="1:20">
      <c r="A3" s="6">
        <f>SUM(Sales_Data[Sales])</f>
        <v>1099000</v>
      </c>
      <c r="B3" s="6">
        <f>SUM(Sales_Data[Profit])</f>
        <v>197200</v>
      </c>
      <c r="C3" s="8">
        <f>B3/A3</f>
        <v>0.17943585077343038</v>
      </c>
      <c r="D3">
        <f>SUM(Sales_Data[Quantity])</f>
        <v>184</v>
      </c>
    </row>
    <row r="5" spans="1:20">
      <c r="A5" s="1" t="s">
        <v>1</v>
      </c>
      <c r="B5" s="1" t="s">
        <v>21</v>
      </c>
      <c r="C5" s="1" t="s">
        <v>22</v>
      </c>
      <c r="D5" s="1" t="s">
        <v>18</v>
      </c>
      <c r="F5" s="1" t="s">
        <v>3</v>
      </c>
      <c r="G5" s="1" t="s">
        <v>21</v>
      </c>
      <c r="H5" s="1" t="s">
        <v>22</v>
      </c>
      <c r="I5" s="1" t="s">
        <v>25</v>
      </c>
      <c r="J5" s="1" t="s">
        <v>26</v>
      </c>
    </row>
    <row r="6" spans="1:20">
      <c r="A6" t="s">
        <v>7</v>
      </c>
      <c r="B6" s="6">
        <f>SUMIFS(Sales_Data[Sales], Sales_Data[Product], "Laptop")</f>
        <v>428000</v>
      </c>
      <c r="C6" s="6">
        <f>SUMIFS(Sales_Data[Profit], Sales_Data[Product], "Laptop")</f>
        <v>84000</v>
      </c>
      <c r="D6" s="8">
        <f>C6/B6</f>
        <v>0.19626168224299065</v>
      </c>
      <c r="F6" t="s">
        <v>9</v>
      </c>
      <c r="G6" s="6">
        <f>SUMIFS(Sales_Data[Sales],Sales_Data[Region],"North")</f>
        <v>326000</v>
      </c>
      <c r="H6" s="6">
        <f>SUMIFS(Sales_Data[Profit], Sales_Data[Region],"North")</f>
        <v>58200</v>
      </c>
      <c r="I6" s="8">
        <f>G6/A$3</f>
        <v>0.29663330300272978</v>
      </c>
      <c r="J6" s="8">
        <f>H6/G6</f>
        <v>0.17852760736196319</v>
      </c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>
      <c r="A7" t="s">
        <v>10</v>
      </c>
      <c r="B7" s="6">
        <f>SUMIFS(Sales_Data[Sales], Sales_Data[Product], "Mobile")</f>
        <v>262000</v>
      </c>
      <c r="C7" s="6">
        <f>SUMIFS(Sales_Data[Profit], Sales_Data[Product], "Mobile")</f>
        <v>42500</v>
      </c>
      <c r="D7" s="8">
        <f t="shared" ref="D7:D10" si="0">C7/B7</f>
        <v>0.16221374045801526</v>
      </c>
      <c r="F7" t="s">
        <v>11</v>
      </c>
      <c r="G7" s="6">
        <f>SUMIFS(Sales_Data[Sales],Sales_Data[Region],"South")</f>
        <v>302000</v>
      </c>
      <c r="H7" s="6">
        <f>SUMIFS(Sales_Data[Profit], Sales_Data[Region],"South")</f>
        <v>52500</v>
      </c>
      <c r="I7" s="8">
        <f>G7/A$3</f>
        <v>0.27479526842584168</v>
      </c>
      <c r="J7" s="8">
        <f t="shared" ref="J7:J9" si="1">H7/G7</f>
        <v>0.17384105960264901</v>
      </c>
    </row>
    <row r="8" spans="1:20">
      <c r="A8" t="s">
        <v>12</v>
      </c>
      <c r="B8" s="6">
        <f>SUMIFS(Sales_Data[Sales], Sales_Data[Product], "Chair")</f>
        <v>111000</v>
      </c>
      <c r="C8" s="6">
        <f>SUMIFS(Sales_Data[Profit], Sales_Data[Product], "Chair")</f>
        <v>19500</v>
      </c>
      <c r="D8" s="8">
        <f t="shared" si="0"/>
        <v>0.17567567567567569</v>
      </c>
      <c r="F8" t="s">
        <v>14</v>
      </c>
      <c r="G8" s="6">
        <f>SUMIFS(Sales_Data[Sales],Sales_Data[Region],"East")</f>
        <v>242000</v>
      </c>
      <c r="H8" s="6">
        <f>SUMIFS(Sales_Data[Profit], Sales_Data[Region],"East")</f>
        <v>43000</v>
      </c>
      <c r="I8" s="8">
        <f t="shared" ref="I7:I9" si="2">G8/A$3</f>
        <v>0.22020018198362148</v>
      </c>
      <c r="J8" s="8">
        <f t="shared" si="1"/>
        <v>0.17768595041322313</v>
      </c>
    </row>
    <row r="9" spans="1:20">
      <c r="A9" t="s">
        <v>15</v>
      </c>
      <c r="B9" s="6">
        <f>SUMIFS(Sales_Data[Sales], Sales_Data[Product], "Table")</f>
        <v>161000</v>
      </c>
      <c r="C9" s="6">
        <f>SUMIFS(Sales_Data[Profit], Sales_Data[Product], "Table")</f>
        <v>32000</v>
      </c>
      <c r="D9" s="8">
        <f t="shared" si="0"/>
        <v>0.19875776397515527</v>
      </c>
      <c r="F9" t="s">
        <v>16</v>
      </c>
      <c r="G9" s="6">
        <f>SUMIFS(Sales_Data[Sales],Sales_Data[Region],"West")</f>
        <v>229000</v>
      </c>
      <c r="H9" s="6">
        <f>SUMIFS(Sales_Data[Profit], Sales_Data[Region],"West")</f>
        <v>43500</v>
      </c>
      <c r="I9" s="8">
        <f t="shared" si="2"/>
        <v>0.20837124658780709</v>
      </c>
      <c r="J9" s="8">
        <f t="shared" si="1"/>
        <v>0.18995633187772926</v>
      </c>
    </row>
    <row r="10" spans="1:20">
      <c r="A10" t="s">
        <v>17</v>
      </c>
      <c r="B10" s="6">
        <f>SUMIFS(Sales_Data[Sales], Sales_Data[Product], "Printer")</f>
        <v>137000</v>
      </c>
      <c r="C10" s="6">
        <f>SUMIFS(Sales_Data[Profit], Sales_Data[Product], "Printer")</f>
        <v>19200</v>
      </c>
      <c r="D10" s="8">
        <f t="shared" si="0"/>
        <v>0.14014598540145987</v>
      </c>
    </row>
  </sheetData>
  <mergeCells count="1">
    <mergeCell ref="A1:N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3701-1636-4777-A1C4-9AD499135457}">
  <dimension ref="A3:C15"/>
  <sheetViews>
    <sheetView workbookViewId="0">
      <selection activeCell="F15" sqref="F15"/>
    </sheetView>
  </sheetViews>
  <sheetFormatPr defaultRowHeight="15"/>
  <cols>
    <col min="1" max="1" width="11.140625" bestFit="1" customWidth="1"/>
    <col min="2" max="2" width="13.85546875" bestFit="1" customWidth="1"/>
    <col min="3" max="3" width="43.7109375" customWidth="1"/>
    <col min="10" max="10" width="36.5703125" bestFit="1" customWidth="1"/>
  </cols>
  <sheetData>
    <row r="3" spans="1:3">
      <c r="A3" s="9" t="s">
        <v>19</v>
      </c>
      <c r="B3" t="s">
        <v>27</v>
      </c>
    </row>
    <row r="4" spans="1:3">
      <c r="A4" t="s">
        <v>28</v>
      </c>
      <c r="B4" s="6">
        <v>200000</v>
      </c>
    </row>
    <row r="5" spans="1:3">
      <c r="A5" t="s">
        <v>29</v>
      </c>
      <c r="B5" s="6">
        <v>212000</v>
      </c>
    </row>
    <row r="6" spans="1:3">
      <c r="A6" t="s">
        <v>30</v>
      </c>
      <c r="B6" s="6">
        <v>221000</v>
      </c>
    </row>
    <row r="7" spans="1:3">
      <c r="A7" t="s">
        <v>31</v>
      </c>
      <c r="B7" s="6">
        <v>238000</v>
      </c>
    </row>
    <row r="8" spans="1:3">
      <c r="A8" t="s">
        <v>32</v>
      </c>
      <c r="B8" s="6">
        <v>228000</v>
      </c>
    </row>
    <row r="9" spans="1:3">
      <c r="A9" t="s">
        <v>33</v>
      </c>
      <c r="B9" s="6">
        <v>1099000</v>
      </c>
    </row>
    <row r="14" spans="1:3">
      <c r="C14" s="13" t="s">
        <v>34</v>
      </c>
    </row>
    <row r="15" spans="1:3" ht="129" customHeight="1">
      <c r="C15" s="14" t="s">
        <v>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C0EF-89F7-4688-AA76-0450ED8DBEBA}">
  <dimension ref="A3:D21"/>
  <sheetViews>
    <sheetView tabSelected="1" workbookViewId="0">
      <selection activeCell="J16" sqref="J16"/>
    </sheetView>
  </sheetViews>
  <sheetFormatPr defaultRowHeight="15"/>
  <cols>
    <col min="1" max="1" width="11.140625" bestFit="1" customWidth="1"/>
    <col min="2" max="2" width="12.7109375" bestFit="1" customWidth="1"/>
    <col min="3" max="3" width="13.85546875" bestFit="1" customWidth="1"/>
    <col min="4" max="4" width="41.7109375" bestFit="1" customWidth="1"/>
  </cols>
  <sheetData>
    <row r="3" spans="1:4">
      <c r="A3" s="9" t="s">
        <v>19</v>
      </c>
      <c r="B3" t="s">
        <v>36</v>
      </c>
      <c r="C3" t="s">
        <v>27</v>
      </c>
    </row>
    <row r="4" spans="1:4">
      <c r="A4" t="s">
        <v>28</v>
      </c>
      <c r="B4" s="6">
        <v>36000</v>
      </c>
      <c r="C4" s="6">
        <v>200000</v>
      </c>
    </row>
    <row r="5" spans="1:4">
      <c r="A5" t="s">
        <v>29</v>
      </c>
      <c r="B5" s="6">
        <v>37500</v>
      </c>
      <c r="C5" s="6">
        <v>212000</v>
      </c>
    </row>
    <row r="6" spans="1:4">
      <c r="A6" t="s">
        <v>30</v>
      </c>
      <c r="B6" s="6">
        <v>37500</v>
      </c>
      <c r="C6" s="6">
        <v>221000</v>
      </c>
    </row>
    <row r="7" spans="1:4">
      <c r="A7" t="s">
        <v>31</v>
      </c>
      <c r="B7" s="6">
        <v>45000</v>
      </c>
      <c r="C7" s="6">
        <v>238000</v>
      </c>
    </row>
    <row r="8" spans="1:4">
      <c r="A8" t="s">
        <v>32</v>
      </c>
      <c r="B8" s="6">
        <v>41200</v>
      </c>
      <c r="C8" s="6">
        <v>228000</v>
      </c>
    </row>
    <row r="9" spans="1:4">
      <c r="A9" t="s">
        <v>33</v>
      </c>
      <c r="B9" s="6">
        <v>197200</v>
      </c>
      <c r="C9" s="6">
        <v>1099000</v>
      </c>
    </row>
    <row r="15" spans="1:4">
      <c r="D15" s="1" t="s">
        <v>37</v>
      </c>
    </row>
    <row r="16" spans="1:4" ht="128.25" customHeight="1">
      <c r="D16" s="11" t="s">
        <v>38</v>
      </c>
    </row>
    <row r="17" spans="4:4">
      <c r="D17" s="12" t="s">
        <v>39</v>
      </c>
    </row>
    <row r="18" spans="4:4">
      <c r="D18" s="10" t="s">
        <v>40</v>
      </c>
    </row>
    <row r="19" spans="4:4">
      <c r="D19" s="10" t="s">
        <v>41</v>
      </c>
    </row>
    <row r="20" spans="4:4">
      <c r="D20" s="10" t="s">
        <v>42</v>
      </c>
    </row>
    <row r="21" spans="4:4">
      <c r="D21" s="10" t="s">
        <v>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2026-02-26T08:48:19Z</dcterms:created>
  <dcterms:modified xsi:type="dcterms:W3CDTF">2026-02-26T11:32:12Z</dcterms:modified>
  <cp:category/>
  <cp:contentStatus/>
</cp:coreProperties>
</file>